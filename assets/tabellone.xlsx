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  <sheet name="Grafic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<sst xmlns="http://schemas.openxmlformats.org/spreadsheetml/2006/main" count="78" uniqueCount="58">
  <si>
    <t xml:space="preserve">valore ottimo della valigia con 4 oggetti</t>
  </si>
  <si>
    <t xml:space="preserve">perimetri e aree</t>
  </si>
  <si>
    <t xml:space="preserve">rettangolo di area massima</t>
  </si>
  <si>
    <t xml:space="preserve">sottoinsiemi con 4 oggetti</t>
  </si>
  <si>
    <t xml:space="preserve">variabili decisionali zaino</t>
  </si>
  <si>
    <t xml:space="preserve">decisioni, vincoli e obiettivo del mix produttivo</t>
  </si>
  <si>
    <t xml:space="preserve">variabili decisionali del mix produttivo</t>
  </si>
  <si>
    <t xml:space="preserve">dove si trova la soluzione ottima?</t>
  </si>
  <si>
    <t xml:space="preserve">qual è il valore ottimo</t>
  </si>
  <si>
    <t xml:space="preserve">decisioni, vincoli e obiettivo della dieta</t>
  </si>
  <si>
    <t xml:space="preserve">variabili decisionali della dieta</t>
  </si>
  <si>
    <t xml:space="preserve">l'emulo di Jeff Bezos</t>
  </si>
  <si>
    <t xml:space="preserve">hello world!</t>
  </si>
  <si>
    <t xml:space="preserve">l'emulo di Willy Wonka</t>
  </si>
  <si>
    <t xml:space="preserve">Ottimizziamo!</t>
  </si>
  <si>
    <t xml:space="preserve">l'emulo di Cannavacciuolo</t>
  </si>
  <si>
    <t xml:space="preserve">pag. I.7</t>
  </si>
  <si>
    <t xml:space="preserve">pag. I.23</t>
  </si>
  <si>
    <t xml:space="preserve">pag. I.24</t>
  </si>
  <si>
    <t xml:space="preserve">pag. I.33</t>
  </si>
  <si>
    <t xml:space="preserve">pag. I.37</t>
  </si>
  <si>
    <t xml:space="preserve">pag. II.7</t>
  </si>
  <si>
    <t xml:space="preserve">pag. II.8</t>
  </si>
  <si>
    <t xml:space="preserve">pag. II.20</t>
  </si>
  <si>
    <t xml:space="preserve">pag. II.21</t>
  </si>
  <si>
    <t xml:space="preserve">pag. II.29</t>
  </si>
  <si>
    <t xml:space="preserve">pag. II.30</t>
  </si>
  <si>
    <t xml:space="preserve">pag. I.9</t>
  </si>
  <si>
    <t xml:space="preserve">pag. I.30</t>
  </si>
  <si>
    <t xml:space="preserve">pag. II.3</t>
  </si>
  <si>
    <t xml:space="preserve">pag. II.23</t>
  </si>
  <si>
    <t xml:space="preserve">pag. II.28</t>
  </si>
  <si>
    <t xml:space="preserve">valore domanda</t>
  </si>
  <si>
    <t xml:space="preserve">squadra</t>
  </si>
  <si>
    <t xml:space="preserve">cognome </t>
  </si>
  <si>
    <t xml:space="preserve">nome</t>
  </si>
  <si>
    <t xml:space="preserve">bottino</t>
  </si>
  <si>
    <t xml:space="preserve">domanda 1</t>
  </si>
  <si>
    <t xml:space="preserve">domanda 2</t>
  </si>
  <si>
    <t xml:space="preserve">domanda 3</t>
  </si>
  <si>
    <t xml:space="preserve">domanda 4</t>
  </si>
  <si>
    <t xml:space="preserve">domanda 5</t>
  </si>
  <si>
    <t xml:space="preserve">domanda 6</t>
  </si>
  <si>
    <t xml:space="preserve">domanda 7</t>
  </si>
  <si>
    <t xml:space="preserve">domanda 8</t>
  </si>
  <si>
    <t xml:space="preserve">domanda 9</t>
  </si>
  <si>
    <t xml:space="preserve">domanda 10</t>
  </si>
  <si>
    <t xml:space="preserve">domanda 11</t>
  </si>
  <si>
    <t xml:space="preserve">quota</t>
  </si>
  <si>
    <t xml:space="preserve">gara 1</t>
  </si>
  <si>
    <t xml:space="preserve">gara 2</t>
  </si>
  <si>
    <t xml:space="preserve">gara 3</t>
  </si>
  <si>
    <t xml:space="preserve">gara 4</t>
  </si>
  <si>
    <t xml:space="preserve">gara 5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</si>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</sst>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5"/>
        <bgColor rgb="FF333333"/>
      </patternFill>
    </fill>
    <fill>
      <patternFill patternType="solid">
        <fgColor theme="0" tint="-0.0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04F81BD"/>
      <rgbColor rgb="FF95B3D7"/>
      <rgbColor rgb="FF993366"/>
      <rgbColor rgb="FFF2F2F2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75E"/>
      <rgbColor rgb="FF339966"/>
      <rgbColor rgb="FF003300"/>
      <rgbColor rgb="FF333300"/>
      <rgbColor rgb="FF772C2A"/>
      <rgbColor rgb="FF993366"/>
      <rgbColor rgb="FF3156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bottino individuale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Foglio1!$G$9:$G$12</c:f>
              <c:strCache>
                <c:ptCount val="1"/>
                <c:pt idx="0">
                  <c:v>valore domanda bottino</c:v>
                </c:pt>
              </c:strCache>
            </c:strRef>
          </c:tx>
          <c:spPr>
            <a:gradFill>
              <a:gsLst>
                <a:gs pos="0">
                  <a:srgbClr val="e6b9b8"/>
                </a:gs>
                <a:gs pos="46000">
                  <a:srgbClr val="c35956"/>
                </a:gs>
                <a:gs pos="100000">
                  <a:srgbClr val="772c2a"/>
                </a:gs>
              </a:gsLst>
              <a:path path="circle">
                <a:fillToRect l="0" t="100000" r="100000" b="0"/>
              </a:path>
            </a:gradFill>
            <a:ln w="12600">
              <a:solidFill>
                <a:srgbClr val="4f81bd">
                  <a:alpha val="94000"/>
                </a:srgbClr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4f81bd">
                      <a:alpha val="94000"/>
                    </a:srgbClr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Foglio1!$D$13:$D$28</c:f>
              <c:strCache>
                <c:ptCount val="1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Foglio1!$G$13:$G$28</c:f>
              <c:numCache>
                <c:formatCode>General</c:formatCode>
                <c:ptCount val="16"/>
                <c:pt idx="0">
                  <c:v>1160</c:v>
                </c:pt>
                <c:pt idx="1">
                  <c:v>1250</c:v>
                </c:pt>
                <c:pt idx="2">
                  <c:v>1060</c:v>
                </c:pt>
                <c:pt idx="3">
                  <c:v>1010</c:v>
                </c:pt>
                <c:pt idx="4">
                  <c:v>630</c:v>
                </c:pt>
                <c:pt idx="5">
                  <c:v>720</c:v>
                </c:pt>
                <c:pt idx="6">
                  <c:v>640</c:v>
                </c:pt>
                <c:pt idx="7">
                  <c:v>760</c:v>
                </c:pt>
                <c:pt idx="8">
                  <c:v>1490</c:v>
                </c:pt>
                <c:pt idx="9">
                  <c:v>1540</c:v>
                </c:pt>
                <c:pt idx="10">
                  <c:v>1490</c:v>
                </c:pt>
                <c:pt idx="11">
                  <c:v>1600</c:v>
                </c:pt>
                <c:pt idx="12">
                  <c:v>850</c:v>
                </c:pt>
                <c:pt idx="13">
                  <c:v>840</c:v>
                </c:pt>
                <c:pt idx="14">
                  <c:v>750</c:v>
                </c:pt>
                <c:pt idx="15">
                  <c:v>890</c:v>
                </c:pt>
              </c:numCache>
            </c:numRef>
          </c:val>
        </c:ser>
        <c:gapWidth val="60"/>
        <c:overlap val="0"/>
        <c:axId val="10024565"/>
        <c:axId val="93780434"/>
      </c:barChart>
      <c:catAx>
        <c:axId val="100245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3780434"/>
        <c:crosses val="autoZero"/>
        <c:auto val="1"/>
        <c:lblAlgn val="ctr"/>
        <c:lblOffset val="100"/>
        <c:noMultiLvlLbl val="0"/>
      </c:catAx>
      <c:valAx>
        <c:axId val="937804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00245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1400" b="0" u="none" strike="noStrike">
                <a:solidFill>
                  <a:srgbClr val="595959"/>
                </a:solidFill>
                <a:uFillTx/>
                <a:latin typeface="Calibri"/>
              </a:rPr>
              <a:t>bottino a squadra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rgbClr val="315683"/>
                </a:gs>
                <a:gs pos="48000">
                  <a:srgbClr val="5485bf"/>
                </a:gs>
                <a:gs pos="100000">
                  <a:srgbClr val="95b3d7"/>
                </a:gs>
              </a:gsLst>
              <a:lin ang="16200000"/>
            </a:gradFill>
            <a:ln w="12600">
              <a:solidFill>
                <a:srgbClr val="4f81bd">
                  <a:alpha val="94000"/>
                </a:srgbClr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4f81bd">
                      <a:alpha val="94000"/>
                    </a:srgbClr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Foglio1!$A$16,Foglio1!$A$20,Foglio1!$A$24,Foglio1!$A$28</c:f>
              <c:multiLvlStrCache>
                <c:ptCount val="1"/>
                <c:lvl>
                  <c:pt idx="0">
                    <c:v>D</c:v>
                  </c:pt>
                </c:lvl>
                <c:lvl>
                  <c:pt idx="0">
                    <c:v>C</c:v>
                  </c:pt>
                </c:lvl>
                <c:lvl>
                  <c:pt idx="0">
                    <c:v>B</c:v>
                  </c:pt>
                </c:lvl>
                <c:lvl>
                  <c:pt idx="0">
                    <c:v>A</c:v>
                  </c:pt>
                </c:lvl>
              </c:multiLvlStrCache>
            </c:multiLvlStrRef>
          </c:cat>
          <c:val>
            <c:numRef>
              <c:f>Foglio1!$B$16,Foglio1!$B$20,Foglio1!$B$24,Foglio1!$B$28</c:f>
              <c:numCache>
                <c:formatCode>General</c:formatCode>
                <c:ptCount val="4"/>
                <c:pt idx="0">
                  <c:v>4480</c:v>
                </c:pt>
                <c:pt idx="1">
                  <c:v>2750</c:v>
                </c:pt>
                <c:pt idx="2">
                  <c:v>6120</c:v>
                </c:pt>
                <c:pt idx="3">
                  <c:v>3330</c:v>
                </c:pt>
              </c:numCache>
            </c:numRef>
          </c:val>
        </c:ser>
        <c:gapWidth val="60"/>
        <c:overlap val="0"/>
        <c:axId val="45240506"/>
        <c:axId val="67307283"/>
      </c:barChart>
      <c:catAx>
        <c:axId val="452405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7307283"/>
        <c:crosses val="autoZero"/>
        <c:auto val="1"/>
        <c:lblAlgn val="ctr"/>
        <c:lblOffset val="100"/>
        <c:noMultiLvlLbl val="0"/>
      </c:catAx>
      <c:valAx>
        <c:axId val="673072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52405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361800</xdr:colOff>
      <xdr:row>0</xdr:row>
      <xdr:rowOff>142920</xdr:rowOff>
    </xdr:from>
    <xdr:to>
      <xdr:col>9</xdr:col>
      <xdr:colOff>447120</xdr:colOff>
      <xdr:row>34</xdr:row>
      <xdr:rowOff>180720</xdr:rowOff>
    </xdr:to>
    <xdr:graphicFrame>
      <xdr:nvGraphicFramePr>
        <xdr:cNvPr id="1" name="Grafico 2"/>
        <xdr:cNvGraphicFramePr/>
      </xdr:nvGraphicFramePr>
      <xdr:xfrm>
        <a:off x="361800" y="142920"/>
        <a:ext cx="5589000" cy="619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38160</xdr:colOff>
      <xdr:row>11</xdr:row>
      <xdr:rowOff>85680</xdr:rowOff>
    </xdr:from>
    <xdr:to>
      <xdr:col>19</xdr:col>
      <xdr:colOff>123480</xdr:colOff>
      <xdr:row>26</xdr:row>
      <xdr:rowOff>151920</xdr:rowOff>
    </xdr:to>
    <xdr:graphicFrame>
      <xdr:nvGraphicFramePr>
        <xdr:cNvPr id="2" name="Grafico 3"/>
        <xdr:cNvGraphicFramePr/>
      </xdr:nvGraphicFramePr>
      <xdr:xfrm>
        <a:off x="6153120" y="2076480"/>
        <a:ext cx="5589000" cy="278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AS28"/>
  <sheetViews>
    <sheetView showFormulas="false" showGridLines="false" showRowColHeaders="true" showZeros="true" rightToLeft="false" tabSelected="true" showOutlineSymbols="true" defaultGridColor="true" view="normal" topLeftCell="A6" colorId="64" zoomScale="70" zoomScaleNormal="70" zoomScalePageLayoutView="100" workbookViewId="0">
      <pane xSplit="5900" ySplit="1425" topLeftCell="A1" activePane="bottomRight" state="split"/>
      <selection pane="topLeft" activeCell="A6" activeCellId="0" sqref="A6"/>
      <selection pane="topRight" activeCell="A6" activeCellId="0" sqref="A6"/>
      <selection pane="bottomLeft" activeCell="A1" activeCellId="0" sqref="A1"/>
      <selection pane="bottomRight" activeCell="A28" activeCellId="0" sqref="A28"/>
    </sheetView>
  </sheetViews>
  <sheetFormatPr defaultColWidth="9.109375" defaultRowHeight="14.25" customHeight="false" zeroHeight="false" outlineLevelRow="0" outlineLevelCol="0"/>
  <cols>
    <col collapsed="false" customWidth="false" hidden="false" outlineLevel="0" max="4" min="1" style="1" width="9.11"/>
    <col collapsed="false" customWidth="true" hidden="false" outlineLevel="0" max="5" min="5" style="1" width="18.44"/>
    <col collapsed="false" customWidth="true" hidden="false" outlineLevel="0" max="7" min="6" style="1" width="17.88"/>
    <col collapsed="false" customWidth="true" hidden="false" outlineLevel="0" max="8" min="8" style="1" width="3.34"/>
    <col collapsed="false" customWidth="true" hidden="false" outlineLevel="0" max="9" min="9" style="1" width="16"/>
    <col collapsed="false" customWidth="true" hidden="false" outlineLevel="0" max="10" min="10" style="1" width="3.34"/>
    <col collapsed="false" customWidth="true" hidden="false" outlineLevel="0" max="11" min="11" style="1" width="16"/>
    <col collapsed="false" customWidth="true" hidden="false" outlineLevel="0" max="12" min="12" style="1" width="3.34"/>
    <col collapsed="false" customWidth="true" hidden="false" outlineLevel="0" max="13" min="13" style="1" width="16"/>
    <col collapsed="false" customWidth="true" hidden="false" outlineLevel="0" max="14" min="14" style="1" width="3.34"/>
    <col collapsed="false" customWidth="true" hidden="false" outlineLevel="0" max="15" min="15" style="1" width="16"/>
    <col collapsed="false" customWidth="true" hidden="false" outlineLevel="0" max="16" min="16" style="1" width="3.34"/>
    <col collapsed="false" customWidth="true" hidden="false" outlineLevel="0" max="17" min="17" style="1" width="16"/>
    <col collapsed="false" customWidth="true" hidden="false" outlineLevel="0" max="18" min="18" style="1" width="3.34"/>
    <col collapsed="false" customWidth="true" hidden="false" outlineLevel="0" max="19" min="19" style="1" width="16"/>
    <col collapsed="false" customWidth="true" hidden="false" outlineLevel="0" max="20" min="20" style="1" width="3.34"/>
    <col collapsed="false" customWidth="true" hidden="false" outlineLevel="0" max="21" min="21" style="1" width="16"/>
    <col collapsed="false" customWidth="true" hidden="false" outlineLevel="0" max="22" min="22" style="1" width="3.34"/>
    <col collapsed="false" customWidth="true" hidden="false" outlineLevel="0" max="23" min="23" style="1" width="16"/>
    <col collapsed="false" customWidth="true" hidden="false" outlineLevel="0" max="24" min="24" style="1" width="3.34"/>
    <col collapsed="false" customWidth="true" hidden="false" outlineLevel="0" max="25" min="25" style="1" width="16"/>
    <col collapsed="false" customWidth="true" hidden="false" outlineLevel="0" max="26" min="26" style="1" width="3.34"/>
    <col collapsed="false" customWidth="true" hidden="false" outlineLevel="0" max="27" min="27" style="1" width="16"/>
    <col collapsed="false" customWidth="true" hidden="false" outlineLevel="0" max="28" min="28" style="1" width="3.34"/>
    <col collapsed="false" customWidth="true" hidden="false" outlineLevel="0" max="29" min="29" style="1" width="16"/>
    <col collapsed="false" customWidth="true" hidden="false" outlineLevel="0" max="30" min="30" style="1" width="3.11"/>
    <col collapsed="false" customWidth="true" hidden="false" outlineLevel="0" max="31" min="31" style="1" width="8.88"/>
    <col collapsed="false" customWidth="true" hidden="false" outlineLevel="0" max="32" min="32" style="1" width="3.34"/>
    <col collapsed="false" customWidth="true" hidden="false" outlineLevel="0" max="33" min="33" style="1" width="16"/>
    <col collapsed="false" customWidth="true" hidden="false" outlineLevel="0" max="34" min="34" style="1" width="8.88"/>
    <col collapsed="false" customWidth="true" hidden="false" outlineLevel="0" max="35" min="35" style="1" width="3.34"/>
    <col collapsed="false" customWidth="true" hidden="false" outlineLevel="0" max="36" min="36" style="1" width="16"/>
    <col collapsed="false" customWidth="true" hidden="false" outlineLevel="0" max="37" min="37" style="1" width="8.88"/>
    <col collapsed="false" customWidth="true" hidden="false" outlineLevel="0" max="38" min="38" style="1" width="3.34"/>
    <col collapsed="false" customWidth="true" hidden="false" outlineLevel="0" max="39" min="39" style="1" width="16"/>
    <col collapsed="false" customWidth="true" hidden="false" outlineLevel="0" max="40" min="40" style="1" width="8.88"/>
    <col collapsed="false" customWidth="true" hidden="false" outlineLevel="0" max="41" min="41" style="1" width="3.34"/>
    <col collapsed="false" customWidth="true" hidden="false" outlineLevel="0" max="42" min="42" style="1" width="16"/>
    <col collapsed="false" customWidth="true" hidden="false" outlineLevel="0" max="43" min="43" style="1" width="8.88"/>
    <col collapsed="false" customWidth="true" hidden="false" outlineLevel="0" max="44" min="44" style="1" width="3.34"/>
    <col collapsed="false" customWidth="true" hidden="false" outlineLevel="0" max="45" min="45" style="1" width="16"/>
    <col collapsed="false" customWidth="false" hidden="false" outlineLevel="0" max="16384" min="46" style="1" width="9.11"/>
  </cols>
  <sheetData>
    <row r="5" s="2" customFormat="true" ht="48" hidden="false" customHeight="true" outlineLevel="0" collapsed="false">
      <c r="I5" s="2" t="s">
        <v>0</v>
      </c>
      <c r="K5" s="2" t="s">
        <v>1</v>
      </c>
      <c r="M5" s="2" t="s">
        <v>2</v>
      </c>
      <c r="O5" s="2" t="s">
        <v>3</v>
      </c>
      <c r="Q5" s="2" t="s">
        <v>4</v>
      </c>
      <c r="S5" s="2" t="s">
        <v>5</v>
      </c>
      <c r="U5" s="2" t="s">
        <v>6</v>
      </c>
      <c r="W5" s="2" t="s">
        <v>7</v>
      </c>
      <c r="Y5" s="2" t="s">
        <v>8</v>
      </c>
      <c r="AA5" s="2" t="s">
        <v>9</v>
      </c>
      <c r="AC5" s="2" t="s">
        <v>10</v>
      </c>
      <c r="AG5" s="2" t="s">
        <v>11</v>
      </c>
      <c r="AJ5" s="2" t="s">
        <v>12</v>
      </c>
      <c r="AM5" s="2" t="s">
        <v>13</v>
      </c>
      <c r="AP5" s="2" t="s">
        <v>14</v>
      </c>
      <c r="AS5" s="2" t="s">
        <v>15</v>
      </c>
    </row>
    <row r="6" s="2" customFormat="true" ht="9.75" hidden="false" customHeight="true" outlineLevel="0" collapsed="false"/>
    <row r="7" customFormat="false" ht="12.75" hidden="false" customHeight="true" outlineLevel="0" collapsed="false">
      <c r="I7" s="3" t="s">
        <v>16</v>
      </c>
      <c r="K7" s="3" t="s">
        <v>17</v>
      </c>
      <c r="M7" s="3" t="s">
        <v>18</v>
      </c>
      <c r="O7" s="3" t="s">
        <v>19</v>
      </c>
      <c r="Q7" s="3" t="s">
        <v>20</v>
      </c>
      <c r="S7" s="3" t="s">
        <v>21</v>
      </c>
      <c r="U7" s="3" t="s">
        <v>22</v>
      </c>
      <c r="W7" s="3" t="s">
        <v>23</v>
      </c>
      <c r="Y7" s="3" t="s">
        <v>24</v>
      </c>
      <c r="AA7" s="3" t="s">
        <v>25</v>
      </c>
      <c r="AC7" s="3" t="s">
        <v>26</v>
      </c>
      <c r="AG7" s="3" t="s">
        <v>27</v>
      </c>
      <c r="AJ7" s="3" t="s">
        <v>28</v>
      </c>
      <c r="AM7" s="3" t="s">
        <v>29</v>
      </c>
      <c r="AP7" s="3" t="s">
        <v>30</v>
      </c>
      <c r="AS7" s="3" t="s">
        <v>31</v>
      </c>
    </row>
    <row r="9" customFormat="false" ht="14.25" hidden="false" customHeight="false" outlineLevel="0" collapsed="false">
      <c r="G9" s="4" t="s">
        <v>32</v>
      </c>
      <c r="H9" s="5"/>
      <c r="I9" s="6" t="n">
        <v>50</v>
      </c>
      <c r="J9" s="5"/>
      <c r="K9" s="6" t="n">
        <v>30</v>
      </c>
      <c r="L9" s="5"/>
      <c r="M9" s="7" t="n">
        <v>100</v>
      </c>
      <c r="N9" s="8"/>
      <c r="O9" s="6" t="n">
        <v>30</v>
      </c>
      <c r="P9" s="8"/>
      <c r="Q9" s="6" t="n">
        <v>40</v>
      </c>
      <c r="R9" s="8"/>
      <c r="S9" s="6" t="n">
        <v>30</v>
      </c>
      <c r="T9" s="8"/>
      <c r="U9" s="6" t="n">
        <v>50</v>
      </c>
      <c r="V9" s="8"/>
      <c r="W9" s="6" t="n">
        <v>40</v>
      </c>
      <c r="X9" s="8"/>
      <c r="Y9" s="6" t="n">
        <v>100</v>
      </c>
      <c r="Z9" s="8"/>
      <c r="AA9" s="6" t="n">
        <v>30</v>
      </c>
      <c r="AB9" s="8"/>
      <c r="AC9" s="6" t="n">
        <v>40</v>
      </c>
    </row>
    <row r="12" customFormat="false" ht="26.25" hidden="false" customHeight="true" outlineLevel="0" collapsed="false">
      <c r="C12" s="9" t="s">
        <v>33</v>
      </c>
      <c r="D12" s="10"/>
      <c r="E12" s="10" t="s">
        <v>34</v>
      </c>
      <c r="F12" s="10" t="s">
        <v>35</v>
      </c>
      <c r="G12" s="10" t="s">
        <v>36</v>
      </c>
      <c r="H12" s="10"/>
      <c r="I12" s="10" t="s">
        <v>37</v>
      </c>
      <c r="J12" s="10"/>
      <c r="K12" s="10" t="s">
        <v>38</v>
      </c>
      <c r="L12" s="10"/>
      <c r="M12" s="10" t="s">
        <v>39</v>
      </c>
      <c r="N12" s="10"/>
      <c r="O12" s="11" t="s">
        <v>40</v>
      </c>
      <c r="P12" s="10"/>
      <c r="Q12" s="11" t="s">
        <v>41</v>
      </c>
      <c r="R12" s="10"/>
      <c r="S12" s="11" t="s">
        <v>42</v>
      </c>
      <c r="T12" s="10"/>
      <c r="U12" s="11" t="s">
        <v>43</v>
      </c>
      <c r="V12" s="10"/>
      <c r="W12" s="11" t="s">
        <v>44</v>
      </c>
      <c r="X12" s="10"/>
      <c r="Y12" s="11" t="s">
        <v>45</v>
      </c>
      <c r="Z12" s="10"/>
      <c r="AA12" s="11" t="s">
        <v>46</v>
      </c>
      <c r="AB12" s="10"/>
      <c r="AC12" s="11" t="s">
        <v>47</v>
      </c>
      <c r="AD12" s="12"/>
      <c r="AE12" s="9" t="s">
        <v>48</v>
      </c>
      <c r="AF12" s="10"/>
      <c r="AG12" s="10" t="s">
        <v>49</v>
      </c>
      <c r="AH12" s="10" t="s">
        <v>48</v>
      </c>
      <c r="AI12" s="10"/>
      <c r="AJ12" s="10" t="s">
        <v>50</v>
      </c>
      <c r="AK12" s="10" t="s">
        <v>48</v>
      </c>
      <c r="AL12" s="10"/>
      <c r="AM12" s="11" t="s">
        <v>51</v>
      </c>
      <c r="AN12" s="10" t="s">
        <v>48</v>
      </c>
      <c r="AO12" s="10"/>
      <c r="AP12" s="11" t="s">
        <v>52</v>
      </c>
      <c r="AQ12" s="10" t="s">
        <v>48</v>
      </c>
      <c r="AR12" s="10"/>
      <c r="AS12" s="11" t="s">
        <v>53</v>
      </c>
    </row>
    <row r="13" customFormat="false" ht="22.5" hidden="false" customHeight="true" outlineLevel="0" collapsed="false">
      <c r="C13" s="13" t="s">
        <v>54</v>
      </c>
      <c r="D13" s="14"/>
      <c r="E13" s="14"/>
      <c r="F13" s="14"/>
      <c r="G13" s="14" t="n">
        <f aca="false">1000+I13+K13+M13+O13+AG13+AJ13+AM13+Q13+S13+U13+W13+AP13+AS13+Y13+AA13+AC13</f>
        <v>1160</v>
      </c>
      <c r="H13" s="15" t="n">
        <v>1</v>
      </c>
      <c r="I13" s="16" t="n">
        <f aca="false">H13*$I$9</f>
        <v>50</v>
      </c>
      <c r="J13" s="15"/>
      <c r="K13" s="16" t="n">
        <f aca="false">J13*K$9</f>
        <v>0</v>
      </c>
      <c r="L13" s="15" t="n">
        <v>1</v>
      </c>
      <c r="M13" s="16" t="n">
        <f aca="false">L13*M$9</f>
        <v>100</v>
      </c>
      <c r="N13" s="15" t="n">
        <v>1</v>
      </c>
      <c r="O13" s="16" t="n">
        <f aca="false">N13*O$9</f>
        <v>30</v>
      </c>
      <c r="P13" s="15"/>
      <c r="Q13" s="16" t="n">
        <f aca="false">P13*Q$9</f>
        <v>0</v>
      </c>
      <c r="R13" s="15"/>
      <c r="S13" s="16" t="n">
        <f aca="false">R13*S$9</f>
        <v>0</v>
      </c>
      <c r="T13" s="15"/>
      <c r="U13" s="16" t="n">
        <f aca="false">T13*U$9</f>
        <v>0</v>
      </c>
      <c r="V13" s="15" t="n">
        <v>1</v>
      </c>
      <c r="W13" s="16" t="n">
        <f aca="false">V13*W$9</f>
        <v>40</v>
      </c>
      <c r="X13" s="15"/>
      <c r="Y13" s="16" t="n">
        <f aca="false">X13*Y$9</f>
        <v>0</v>
      </c>
      <c r="Z13" s="15"/>
      <c r="AA13" s="16" t="n">
        <f aca="false">Z13*AA$9</f>
        <v>0</v>
      </c>
      <c r="AB13" s="15"/>
      <c r="AC13" s="16" t="n">
        <f aca="false">AB13*AC$9</f>
        <v>0</v>
      </c>
      <c r="AE13" s="17" t="n">
        <v>150</v>
      </c>
      <c r="AF13" s="18" t="n">
        <v>-1</v>
      </c>
      <c r="AG13" s="16" t="n">
        <f aca="false">AE13*AF13</f>
        <v>-150</v>
      </c>
      <c r="AH13" s="17" t="n">
        <v>100</v>
      </c>
      <c r="AI13" s="18" t="n">
        <v>1</v>
      </c>
      <c r="AJ13" s="16" t="n">
        <f aca="false">AH13*AI13</f>
        <v>100</v>
      </c>
      <c r="AK13" s="17" t="n">
        <v>10</v>
      </c>
      <c r="AL13" s="18" t="n">
        <v>-1</v>
      </c>
      <c r="AM13" s="16" t="n">
        <f aca="false">AK13*AL13</f>
        <v>-10</v>
      </c>
      <c r="AN13" s="17"/>
      <c r="AO13" s="18"/>
      <c r="AP13" s="16" t="n">
        <f aca="false">AN13*AO13</f>
        <v>0</v>
      </c>
      <c r="AQ13" s="17"/>
      <c r="AR13" s="18"/>
      <c r="AS13" s="16" t="n">
        <f aca="false">AQ13*AR13</f>
        <v>0</v>
      </c>
    </row>
    <row r="14" customFormat="false" ht="22.5" hidden="false" customHeight="true" outlineLevel="0" collapsed="false">
      <c r="C14" s="19" t="s">
        <v>54</v>
      </c>
      <c r="D14" s="20"/>
      <c r="E14" s="20"/>
      <c r="F14" s="20"/>
      <c r="G14" s="20" t="n">
        <f aca="false">1000+I14+K14+M14+O14+AG14+AJ14+AM14+Q14+S14+U14+W14+AP14+AS14+Y14+AA14+AC14</f>
        <v>1250</v>
      </c>
      <c r="H14" s="21" t="n">
        <v>1</v>
      </c>
      <c r="I14" s="22" t="n">
        <f aca="false">H14*$I$9</f>
        <v>50</v>
      </c>
      <c r="J14" s="21"/>
      <c r="K14" s="22" t="n">
        <f aca="false">J14*K$9</f>
        <v>0</v>
      </c>
      <c r="L14" s="21" t="n">
        <v>1</v>
      </c>
      <c r="M14" s="22" t="n">
        <f aca="false">L14*M$9</f>
        <v>100</v>
      </c>
      <c r="N14" s="21" t="n">
        <v>1</v>
      </c>
      <c r="O14" s="22" t="n">
        <f aca="false">N14*O$9</f>
        <v>30</v>
      </c>
      <c r="P14" s="21" t="n">
        <v>1</v>
      </c>
      <c r="Q14" s="22" t="n">
        <f aca="false">P14*Q$9</f>
        <v>40</v>
      </c>
      <c r="R14" s="21"/>
      <c r="S14" s="22" t="n">
        <f aca="false">R14*S$9</f>
        <v>0</v>
      </c>
      <c r="T14" s="21" t="n">
        <v>1</v>
      </c>
      <c r="U14" s="22" t="n">
        <f aca="false">T14*U$9</f>
        <v>50</v>
      </c>
      <c r="V14" s="21" t="n">
        <v>1</v>
      </c>
      <c r="W14" s="22" t="n">
        <f aca="false">V14*W$9</f>
        <v>40</v>
      </c>
      <c r="X14" s="21"/>
      <c r="Y14" s="22" t="n">
        <f aca="false">X14*Y$9</f>
        <v>0</v>
      </c>
      <c r="Z14" s="21"/>
      <c r="AA14" s="22" t="n">
        <f aca="false">Z14*AA$9</f>
        <v>0</v>
      </c>
      <c r="AB14" s="21"/>
      <c r="AC14" s="22" t="n">
        <f aca="false">AB14*AC$9</f>
        <v>0</v>
      </c>
      <c r="AE14" s="23" t="n">
        <v>150</v>
      </c>
      <c r="AF14" s="24" t="n">
        <v>-1</v>
      </c>
      <c r="AG14" s="22" t="n">
        <f aca="false">AE14*AF14</f>
        <v>-150</v>
      </c>
      <c r="AH14" s="23" t="n">
        <v>100</v>
      </c>
      <c r="AI14" s="24" t="n">
        <v>1</v>
      </c>
      <c r="AJ14" s="22" t="n">
        <f aca="false">AH14*AI14</f>
        <v>100</v>
      </c>
      <c r="AK14" s="23" t="n">
        <v>10</v>
      </c>
      <c r="AL14" s="24" t="n">
        <v>-1</v>
      </c>
      <c r="AM14" s="22" t="n">
        <f aca="false">AK14*AL14</f>
        <v>-10</v>
      </c>
      <c r="AN14" s="23"/>
      <c r="AO14" s="24"/>
      <c r="AP14" s="22" t="n">
        <f aca="false">AN14*AO14</f>
        <v>0</v>
      </c>
      <c r="AQ14" s="23"/>
      <c r="AR14" s="24"/>
      <c r="AS14" s="22" t="n">
        <f aca="false">AQ14*AR14</f>
        <v>0</v>
      </c>
    </row>
    <row r="15" customFormat="false" ht="22.5" hidden="false" customHeight="true" outlineLevel="0" collapsed="false">
      <c r="C15" s="19" t="s">
        <v>54</v>
      </c>
      <c r="D15" s="20"/>
      <c r="E15" s="20"/>
      <c r="F15" s="20"/>
      <c r="G15" s="20" t="n">
        <f aca="false">1000+I15+K15+M15+O15+AG15+AJ15+AM15+Q15+S15+U15+W15+AP15+AS15+Y15+AA15+AC15</f>
        <v>1060</v>
      </c>
      <c r="H15" s="21" t="n">
        <v>1</v>
      </c>
      <c r="I15" s="22" t="n">
        <f aca="false">H15*$I$9</f>
        <v>50</v>
      </c>
      <c r="J15" s="21"/>
      <c r="K15" s="22" t="n">
        <f aca="false">J15*K$9</f>
        <v>0</v>
      </c>
      <c r="L15" s="21"/>
      <c r="M15" s="22" t="n">
        <f aca="false">L15*M$9</f>
        <v>0</v>
      </c>
      <c r="N15" s="21" t="n">
        <v>1</v>
      </c>
      <c r="O15" s="22" t="n">
        <f aca="false">N15*O$9</f>
        <v>30</v>
      </c>
      <c r="P15" s="21"/>
      <c r="Q15" s="22" t="n">
        <f aca="false">P15*Q$9</f>
        <v>0</v>
      </c>
      <c r="R15" s="21"/>
      <c r="S15" s="22" t="n">
        <f aca="false">R15*S$9</f>
        <v>0</v>
      </c>
      <c r="T15" s="21"/>
      <c r="U15" s="22" t="n">
        <f aca="false">T15*U$9</f>
        <v>0</v>
      </c>
      <c r="V15" s="21" t="n">
        <v>1</v>
      </c>
      <c r="W15" s="22" t="n">
        <f aca="false">V15*W$9</f>
        <v>40</v>
      </c>
      <c r="X15" s="21"/>
      <c r="Y15" s="22" t="n">
        <f aca="false">X15*Y$9</f>
        <v>0</v>
      </c>
      <c r="Z15" s="21"/>
      <c r="AA15" s="22" t="n">
        <f aca="false">Z15*AA$9</f>
        <v>0</v>
      </c>
      <c r="AB15" s="21"/>
      <c r="AC15" s="22" t="n">
        <f aca="false">AB15*AC$9</f>
        <v>0</v>
      </c>
      <c r="AE15" s="23" t="n">
        <v>150</v>
      </c>
      <c r="AF15" s="24" t="n">
        <v>-1</v>
      </c>
      <c r="AG15" s="22" t="n">
        <f aca="false">AE15*AF15</f>
        <v>-150</v>
      </c>
      <c r="AH15" s="23" t="n">
        <v>100</v>
      </c>
      <c r="AI15" s="24" t="n">
        <v>1</v>
      </c>
      <c r="AJ15" s="22" t="n">
        <f aca="false">AH15*AI15</f>
        <v>100</v>
      </c>
      <c r="AK15" s="23" t="n">
        <v>10</v>
      </c>
      <c r="AL15" s="24" t="n">
        <v>-1</v>
      </c>
      <c r="AM15" s="22" t="n">
        <f aca="false">AK15*AL15</f>
        <v>-10</v>
      </c>
      <c r="AN15" s="23"/>
      <c r="AO15" s="24"/>
      <c r="AP15" s="22" t="n">
        <f aca="false">AN15*AO15</f>
        <v>0</v>
      </c>
      <c r="AQ15" s="23"/>
      <c r="AR15" s="24"/>
      <c r="AS15" s="22" t="n">
        <f aca="false">AQ15*AR15</f>
        <v>0</v>
      </c>
    </row>
    <row r="16" customFormat="false" ht="22.5" hidden="false" customHeight="true" outlineLevel="0" collapsed="false">
      <c r="A16" s="1" t="s">
        <v>54</v>
      </c>
      <c r="B16" s="1" t="n">
        <f aca="false">SUM(G13:G16)</f>
        <v>4480</v>
      </c>
      <c r="C16" s="19" t="s">
        <v>54</v>
      </c>
      <c r="D16" s="20"/>
      <c r="E16" s="20"/>
      <c r="F16" s="20"/>
      <c r="G16" s="20" t="n">
        <f aca="false">1000+I16+K16+M16+O16+AG16+AJ16+AM16+Q16+S16+U16+W16+AP16+AS16+Y16+AA16+AC16</f>
        <v>1010</v>
      </c>
      <c r="H16" s="21"/>
      <c r="I16" s="22" t="n">
        <f aca="false">H16*$I$9</f>
        <v>0</v>
      </c>
      <c r="J16" s="21"/>
      <c r="K16" s="22" t="n">
        <f aca="false">J16*K$9</f>
        <v>0</v>
      </c>
      <c r="L16" s="21"/>
      <c r="M16" s="22" t="n">
        <f aca="false">L16*M$9</f>
        <v>0</v>
      </c>
      <c r="N16" s="21" t="n">
        <v>1</v>
      </c>
      <c r="O16" s="22" t="n">
        <f aca="false">N16*O$9</f>
        <v>30</v>
      </c>
      <c r="P16" s="21" t="n">
        <v>1</v>
      </c>
      <c r="Q16" s="22" t="n">
        <f aca="false">P16*Q$9</f>
        <v>40</v>
      </c>
      <c r="R16" s="21"/>
      <c r="S16" s="22" t="n">
        <f aca="false">R16*S$9</f>
        <v>0</v>
      </c>
      <c r="T16" s="21"/>
      <c r="U16" s="22" t="n">
        <f aca="false">T16*U$9</f>
        <v>0</v>
      </c>
      <c r="V16" s="21"/>
      <c r="W16" s="22" t="n">
        <f aca="false">V16*W$9</f>
        <v>0</v>
      </c>
      <c r="X16" s="21"/>
      <c r="Y16" s="22" t="n">
        <f aca="false">X16*Y$9</f>
        <v>0</v>
      </c>
      <c r="Z16" s="21"/>
      <c r="AA16" s="22" t="n">
        <f aca="false">Z16*AA$9</f>
        <v>0</v>
      </c>
      <c r="AB16" s="21"/>
      <c r="AC16" s="22" t="n">
        <f aca="false">AB16*AC$9</f>
        <v>0</v>
      </c>
      <c r="AE16" s="23" t="n">
        <v>150</v>
      </c>
      <c r="AF16" s="24" t="n">
        <v>-1</v>
      </c>
      <c r="AG16" s="22" t="n">
        <f aca="false">AE16*AF16</f>
        <v>-150</v>
      </c>
      <c r="AH16" s="23" t="n">
        <v>100</v>
      </c>
      <c r="AI16" s="24" t="n">
        <v>1</v>
      </c>
      <c r="AJ16" s="22" t="n">
        <f aca="false">AH16*AI16</f>
        <v>100</v>
      </c>
      <c r="AK16" s="23" t="n">
        <v>10</v>
      </c>
      <c r="AL16" s="24" t="n">
        <v>-1</v>
      </c>
      <c r="AM16" s="22" t="n">
        <f aca="false">AK16*AL16</f>
        <v>-10</v>
      </c>
      <c r="AN16" s="23"/>
      <c r="AO16" s="24"/>
      <c r="AP16" s="22" t="n">
        <f aca="false">AN16*AO16</f>
        <v>0</v>
      </c>
      <c r="AQ16" s="23"/>
      <c r="AR16" s="24"/>
      <c r="AS16" s="22" t="n">
        <f aca="false">AQ16*AR16</f>
        <v>0</v>
      </c>
    </row>
    <row r="17" customFormat="false" ht="22.5" hidden="false" customHeight="true" outlineLevel="0" collapsed="false">
      <c r="C17" s="19" t="s">
        <v>55</v>
      </c>
      <c r="D17" s="20"/>
      <c r="E17" s="20"/>
      <c r="F17" s="20"/>
      <c r="G17" s="20" t="n">
        <f aca="false">1000+I17+K17+M17+O17+AG17+AJ17+AM17+Q17+S17+U17+W17+AP17+AS17+Y17+AA17+AC17</f>
        <v>630</v>
      </c>
      <c r="H17" s="21" t="n">
        <v>1</v>
      </c>
      <c r="I17" s="22" t="n">
        <f aca="false">H17*$I$9</f>
        <v>50</v>
      </c>
      <c r="J17" s="21"/>
      <c r="K17" s="22" t="n">
        <f aca="false">J17*K$9</f>
        <v>0</v>
      </c>
      <c r="L17" s="21"/>
      <c r="M17" s="22" t="n">
        <f aca="false">L17*M$9</f>
        <v>0</v>
      </c>
      <c r="N17" s="21" t="n">
        <v>1</v>
      </c>
      <c r="O17" s="22" t="n">
        <f aca="false">N17*O$9</f>
        <v>30</v>
      </c>
      <c r="P17" s="21"/>
      <c r="Q17" s="22" t="n">
        <f aca="false">P17*Q$9</f>
        <v>0</v>
      </c>
      <c r="R17" s="21"/>
      <c r="S17" s="22" t="n">
        <f aca="false">R17*S$9</f>
        <v>0</v>
      </c>
      <c r="T17" s="21"/>
      <c r="U17" s="22" t="n">
        <f aca="false">T17*U$9</f>
        <v>0</v>
      </c>
      <c r="V17" s="21"/>
      <c r="W17" s="22" t="n">
        <f aca="false">V17*W$9</f>
        <v>0</v>
      </c>
      <c r="X17" s="21"/>
      <c r="Y17" s="22" t="n">
        <f aca="false">X17*Y$9</f>
        <v>0</v>
      </c>
      <c r="Z17" s="21"/>
      <c r="AA17" s="22" t="n">
        <f aca="false">Z17*AA$9</f>
        <v>0</v>
      </c>
      <c r="AB17" s="21"/>
      <c r="AC17" s="22" t="n">
        <f aca="false">AB17*AC$9</f>
        <v>0</v>
      </c>
      <c r="AE17" s="23" t="n">
        <v>200</v>
      </c>
      <c r="AF17" s="24" t="n">
        <v>-1</v>
      </c>
      <c r="AG17" s="22" t="n">
        <f aca="false">AE17*AF17</f>
        <v>-200</v>
      </c>
      <c r="AH17" s="23" t="n">
        <v>50</v>
      </c>
      <c r="AI17" s="24" t="n">
        <v>-1</v>
      </c>
      <c r="AJ17" s="22" t="n">
        <f aca="false">AH17*AI17</f>
        <v>-50</v>
      </c>
      <c r="AK17" s="23" t="n">
        <v>200</v>
      </c>
      <c r="AL17" s="24" t="n">
        <v>-1</v>
      </c>
      <c r="AM17" s="22" t="n">
        <f aca="false">AK17*AL17</f>
        <v>-200</v>
      </c>
      <c r="AN17" s="23"/>
      <c r="AO17" s="24"/>
      <c r="AP17" s="22" t="n">
        <f aca="false">AN17*AO17</f>
        <v>0</v>
      </c>
      <c r="AQ17" s="23"/>
      <c r="AR17" s="24"/>
      <c r="AS17" s="22" t="n">
        <f aca="false">AQ17*AR17</f>
        <v>0</v>
      </c>
    </row>
    <row r="18" customFormat="false" ht="22.5" hidden="false" customHeight="true" outlineLevel="0" collapsed="false">
      <c r="C18" s="19" t="s">
        <v>55</v>
      </c>
      <c r="D18" s="20"/>
      <c r="E18" s="20"/>
      <c r="F18" s="20"/>
      <c r="G18" s="20" t="n">
        <f aca="false">1000+I18+K18+M18+O18+AG18+AJ18+AM18+Q18+S18+U18+W18+AP18+AS18+Y18+AA18+AC18</f>
        <v>720</v>
      </c>
      <c r="H18" s="21"/>
      <c r="I18" s="22" t="n">
        <f aca="false">H18*$I$9</f>
        <v>0</v>
      </c>
      <c r="J18" s="21"/>
      <c r="K18" s="22" t="n">
        <f aca="false">J18*K$9</f>
        <v>0</v>
      </c>
      <c r="L18" s="21" t="n">
        <v>1</v>
      </c>
      <c r="M18" s="22" t="n">
        <f aca="false">L18*M$9</f>
        <v>100</v>
      </c>
      <c r="N18" s="21" t="n">
        <v>1</v>
      </c>
      <c r="O18" s="22" t="n">
        <f aca="false">N18*O$9</f>
        <v>30</v>
      </c>
      <c r="P18" s="21" t="n">
        <v>1</v>
      </c>
      <c r="Q18" s="22" t="n">
        <f aca="false">P18*Q$9</f>
        <v>40</v>
      </c>
      <c r="R18" s="21"/>
      <c r="S18" s="22" t="n">
        <f aca="false">R18*S$9</f>
        <v>0</v>
      </c>
      <c r="T18" s="21"/>
      <c r="U18" s="22" t="n">
        <f aca="false">T18*U$9</f>
        <v>0</v>
      </c>
      <c r="V18" s="21"/>
      <c r="W18" s="22" t="n">
        <f aca="false">V18*W$9</f>
        <v>0</v>
      </c>
      <c r="X18" s="21"/>
      <c r="Y18" s="22" t="n">
        <f aca="false">X18*Y$9</f>
        <v>0</v>
      </c>
      <c r="Z18" s="21"/>
      <c r="AA18" s="22" t="n">
        <f aca="false">Z18*AA$9</f>
        <v>0</v>
      </c>
      <c r="AB18" s="21"/>
      <c r="AC18" s="22" t="n">
        <f aca="false">AB18*AC$9</f>
        <v>0</v>
      </c>
      <c r="AE18" s="23" t="n">
        <v>200</v>
      </c>
      <c r="AF18" s="24" t="n">
        <v>-1</v>
      </c>
      <c r="AG18" s="22" t="n">
        <f aca="false">AE18*AF18</f>
        <v>-200</v>
      </c>
      <c r="AH18" s="23" t="n">
        <v>50</v>
      </c>
      <c r="AI18" s="24" t="n">
        <v>-1</v>
      </c>
      <c r="AJ18" s="22" t="n">
        <f aca="false">AH18*AI18</f>
        <v>-50</v>
      </c>
      <c r="AK18" s="23" t="n">
        <v>200</v>
      </c>
      <c r="AL18" s="24" t="n">
        <v>-1</v>
      </c>
      <c r="AM18" s="22" t="n">
        <f aca="false">AK18*AL18</f>
        <v>-200</v>
      </c>
      <c r="AN18" s="23"/>
      <c r="AO18" s="24"/>
      <c r="AP18" s="22" t="n">
        <f aca="false">AN18*AO18</f>
        <v>0</v>
      </c>
      <c r="AQ18" s="23"/>
      <c r="AR18" s="24"/>
      <c r="AS18" s="22" t="n">
        <f aca="false">AQ18*AR18</f>
        <v>0</v>
      </c>
    </row>
    <row r="19" customFormat="false" ht="22.5" hidden="false" customHeight="true" outlineLevel="0" collapsed="false">
      <c r="C19" s="19" t="s">
        <v>55</v>
      </c>
      <c r="D19" s="20"/>
      <c r="E19" s="20"/>
      <c r="F19" s="20"/>
      <c r="G19" s="20" t="n">
        <f aca="false">1000+I19+K19+M19+O19+AG19+AJ19+AM19+Q19+S19+U19+W19+AP19+AS19+Y19+AA19+AC19</f>
        <v>640</v>
      </c>
      <c r="H19" s="21" t="n">
        <v>1</v>
      </c>
      <c r="I19" s="22" t="n">
        <f aca="false">H19*$I$9</f>
        <v>50</v>
      </c>
      <c r="J19" s="21"/>
      <c r="K19" s="22" t="n">
        <f aca="false">J19*K$9</f>
        <v>0</v>
      </c>
      <c r="L19" s="21"/>
      <c r="M19" s="22" t="n">
        <f aca="false">L19*M$9</f>
        <v>0</v>
      </c>
      <c r="N19" s="21"/>
      <c r="O19" s="22" t="n">
        <f aca="false">N19*O$9</f>
        <v>0</v>
      </c>
      <c r="P19" s="21"/>
      <c r="Q19" s="22" t="n">
        <f aca="false">P19*Q$9</f>
        <v>0</v>
      </c>
      <c r="R19" s="21"/>
      <c r="S19" s="22" t="n">
        <f aca="false">R19*S$9</f>
        <v>0</v>
      </c>
      <c r="T19" s="21"/>
      <c r="U19" s="22" t="n">
        <f aca="false">T19*U$9</f>
        <v>0</v>
      </c>
      <c r="V19" s="21" t="n">
        <v>1</v>
      </c>
      <c r="W19" s="22" t="n">
        <f aca="false">V19*W$9</f>
        <v>40</v>
      </c>
      <c r="X19" s="21"/>
      <c r="Y19" s="22" t="n">
        <f aca="false">X19*Y$9</f>
        <v>0</v>
      </c>
      <c r="Z19" s="21"/>
      <c r="AA19" s="22" t="n">
        <f aca="false">Z19*AA$9</f>
        <v>0</v>
      </c>
      <c r="AB19" s="21"/>
      <c r="AC19" s="22" t="n">
        <f aca="false">AB19*AC$9</f>
        <v>0</v>
      </c>
      <c r="AE19" s="23" t="n">
        <v>200</v>
      </c>
      <c r="AF19" s="24" t="n">
        <v>-1</v>
      </c>
      <c r="AG19" s="22" t="n">
        <f aca="false">AE19*AF19</f>
        <v>-200</v>
      </c>
      <c r="AH19" s="23" t="n">
        <v>50</v>
      </c>
      <c r="AI19" s="24" t="n">
        <v>-1</v>
      </c>
      <c r="AJ19" s="22" t="n">
        <f aca="false">AH19*AI19</f>
        <v>-50</v>
      </c>
      <c r="AK19" s="23" t="n">
        <v>200</v>
      </c>
      <c r="AL19" s="24" t="n">
        <v>-1</v>
      </c>
      <c r="AM19" s="22" t="n">
        <f aca="false">AK19*AL19</f>
        <v>-200</v>
      </c>
      <c r="AN19" s="23"/>
      <c r="AO19" s="24"/>
      <c r="AP19" s="22" t="n">
        <f aca="false">AN19*AO19</f>
        <v>0</v>
      </c>
      <c r="AQ19" s="23"/>
      <c r="AR19" s="24"/>
      <c r="AS19" s="22" t="n">
        <f aca="false">AQ19*AR19</f>
        <v>0</v>
      </c>
    </row>
    <row r="20" customFormat="false" ht="22.5" hidden="false" customHeight="true" outlineLevel="0" collapsed="false">
      <c r="A20" s="1" t="s">
        <v>55</v>
      </c>
      <c r="B20" s="1" t="n">
        <f aca="false">SUM(G17:G20)</f>
        <v>2750</v>
      </c>
      <c r="C20" s="19" t="s">
        <v>55</v>
      </c>
      <c r="D20" s="20"/>
      <c r="E20" s="20"/>
      <c r="F20" s="20"/>
      <c r="G20" s="20" t="n">
        <f aca="false">1000+I20+K20+M20+O20+AG20+AJ20+AM20+Q20+S20+U20+W20+AP20+AS20+Y20+AA20+AC20</f>
        <v>760</v>
      </c>
      <c r="H20" s="21" t="n">
        <v>1</v>
      </c>
      <c r="I20" s="22" t="n">
        <f aca="false">H20*$I$9</f>
        <v>50</v>
      </c>
      <c r="J20" s="21" t="n">
        <v>1</v>
      </c>
      <c r="K20" s="22" t="n">
        <f aca="false">J20*K$9</f>
        <v>30</v>
      </c>
      <c r="L20" s="21"/>
      <c r="M20" s="22" t="n">
        <f aca="false">L20*M$9</f>
        <v>0</v>
      </c>
      <c r="N20" s="21"/>
      <c r="O20" s="22" t="n">
        <f aca="false">N20*O$9</f>
        <v>0</v>
      </c>
      <c r="P20" s="21" t="n">
        <v>1</v>
      </c>
      <c r="Q20" s="22" t="n">
        <f aca="false">P20*Q$9</f>
        <v>40</v>
      </c>
      <c r="R20" s="21"/>
      <c r="S20" s="22" t="n">
        <f aca="false">R20*S$9</f>
        <v>0</v>
      </c>
      <c r="T20" s="21" t="n">
        <v>1</v>
      </c>
      <c r="U20" s="22" t="n">
        <f aca="false">T20*U$9</f>
        <v>50</v>
      </c>
      <c r="V20" s="21" t="n">
        <v>1</v>
      </c>
      <c r="W20" s="22" t="n">
        <f aca="false">V20*W$9</f>
        <v>40</v>
      </c>
      <c r="X20" s="21"/>
      <c r="Y20" s="22" t="n">
        <f aca="false">X20*Y$9</f>
        <v>0</v>
      </c>
      <c r="Z20" s="21"/>
      <c r="AA20" s="22" t="n">
        <f aca="false">Z20*AA$9</f>
        <v>0</v>
      </c>
      <c r="AB20" s="21"/>
      <c r="AC20" s="22" t="n">
        <f aca="false">AB20*AC$9</f>
        <v>0</v>
      </c>
      <c r="AE20" s="23" t="n">
        <v>200</v>
      </c>
      <c r="AF20" s="24" t="n">
        <v>-1</v>
      </c>
      <c r="AG20" s="22" t="n">
        <f aca="false">AE20*AF20</f>
        <v>-200</v>
      </c>
      <c r="AH20" s="23" t="n">
        <v>50</v>
      </c>
      <c r="AI20" s="24" t="n">
        <v>-1</v>
      </c>
      <c r="AJ20" s="22" t="n">
        <f aca="false">AH20*AI20</f>
        <v>-50</v>
      </c>
      <c r="AK20" s="23" t="n">
        <v>200</v>
      </c>
      <c r="AL20" s="24" t="n">
        <v>-1</v>
      </c>
      <c r="AM20" s="22" t="n">
        <f aca="false">AK20*AL20</f>
        <v>-200</v>
      </c>
      <c r="AN20" s="23"/>
      <c r="AO20" s="24"/>
      <c r="AP20" s="22" t="n">
        <f aca="false">AN20*AO20</f>
        <v>0</v>
      </c>
      <c r="AQ20" s="23"/>
      <c r="AR20" s="24"/>
      <c r="AS20" s="22" t="n">
        <f aca="false">AQ20*AR20</f>
        <v>0</v>
      </c>
    </row>
    <row r="21" customFormat="false" ht="22.5" hidden="false" customHeight="true" outlineLevel="0" collapsed="false">
      <c r="C21" s="19" t="s">
        <v>56</v>
      </c>
      <c r="D21" s="20"/>
      <c r="E21" s="20"/>
      <c r="F21" s="20"/>
      <c r="G21" s="20" t="n">
        <f aca="false">1000+I21+K21+M21+O21+AG21+AJ21+AM21+Q21+S21+U21+W21+AP21+AS21+Y21+AA21+AC21</f>
        <v>1490</v>
      </c>
      <c r="H21" s="21" t="n">
        <v>1</v>
      </c>
      <c r="I21" s="22" t="n">
        <f aca="false">H21*$I$9</f>
        <v>50</v>
      </c>
      <c r="J21" s="21"/>
      <c r="K21" s="22" t="n">
        <f aca="false">J21*K$9</f>
        <v>0</v>
      </c>
      <c r="L21" s="21"/>
      <c r="M21" s="22" t="n">
        <f aca="false">L21*M$9</f>
        <v>0</v>
      </c>
      <c r="N21" s="21"/>
      <c r="O21" s="22" t="n">
        <f aca="false">N21*O$9</f>
        <v>0</v>
      </c>
      <c r="P21" s="21" t="n">
        <v>1</v>
      </c>
      <c r="Q21" s="22" t="n">
        <f aca="false">P21*Q$9</f>
        <v>40</v>
      </c>
      <c r="R21" s="21"/>
      <c r="S21" s="22" t="n">
        <f aca="false">R21*S$9</f>
        <v>0</v>
      </c>
      <c r="T21" s="21" t="n">
        <v>1</v>
      </c>
      <c r="U21" s="22" t="n">
        <f aca="false">T21*U$9</f>
        <v>50</v>
      </c>
      <c r="V21" s="21"/>
      <c r="W21" s="22" t="n">
        <f aca="false">V21*W$9</f>
        <v>0</v>
      </c>
      <c r="X21" s="21"/>
      <c r="Y21" s="22" t="n">
        <f aca="false">X21*Y$9</f>
        <v>0</v>
      </c>
      <c r="Z21" s="21"/>
      <c r="AA21" s="22" t="n">
        <f aca="false">Z21*AA$9</f>
        <v>0</v>
      </c>
      <c r="AB21" s="21"/>
      <c r="AC21" s="22" t="n">
        <f aca="false">AB21*AC$9</f>
        <v>0</v>
      </c>
      <c r="AE21" s="23" t="n">
        <v>100</v>
      </c>
      <c r="AF21" s="24" t="n">
        <v>1</v>
      </c>
      <c r="AG21" s="22" t="n">
        <f aca="false">AE21*AF21</f>
        <v>100</v>
      </c>
      <c r="AH21" s="23" t="n">
        <v>50</v>
      </c>
      <c r="AI21" s="24" t="n">
        <v>1</v>
      </c>
      <c r="AJ21" s="22" t="n">
        <f aca="false">AH21*AI21</f>
        <v>50</v>
      </c>
      <c r="AK21" s="23" t="n">
        <v>200</v>
      </c>
      <c r="AL21" s="24" t="n">
        <v>1</v>
      </c>
      <c r="AM21" s="22" t="n">
        <f aca="false">AK21*AL21</f>
        <v>200</v>
      </c>
      <c r="AN21" s="23"/>
      <c r="AO21" s="24"/>
      <c r="AP21" s="22" t="n">
        <f aca="false">AN21*AO21</f>
        <v>0</v>
      </c>
      <c r="AQ21" s="23"/>
      <c r="AR21" s="24"/>
      <c r="AS21" s="22" t="n">
        <f aca="false">AQ21*AR21</f>
        <v>0</v>
      </c>
    </row>
    <row r="22" customFormat="false" ht="22.5" hidden="false" customHeight="true" outlineLevel="0" collapsed="false">
      <c r="C22" s="19" t="s">
        <v>56</v>
      </c>
      <c r="D22" s="20"/>
      <c r="E22" s="20"/>
      <c r="F22" s="20"/>
      <c r="G22" s="20" t="n">
        <f aca="false">1000+I22+K22+M22+O22+AG22+AJ22+AM22+Q22+S22+U22+W22+AP22+AS22+Y22+AA22+AC22</f>
        <v>1540</v>
      </c>
      <c r="H22" s="21" t="n">
        <v>1</v>
      </c>
      <c r="I22" s="22" t="n">
        <f aca="false">H22*$I$9</f>
        <v>50</v>
      </c>
      <c r="J22" s="21" t="n">
        <v>1</v>
      </c>
      <c r="K22" s="22" t="n">
        <f aca="false">J22*K$9</f>
        <v>30</v>
      </c>
      <c r="L22" s="21"/>
      <c r="M22" s="22" t="n">
        <f aca="false">L22*M$9</f>
        <v>0</v>
      </c>
      <c r="N22" s="21" t="n">
        <v>1</v>
      </c>
      <c r="O22" s="22" t="n">
        <f aca="false">N22*O$9</f>
        <v>30</v>
      </c>
      <c r="P22" s="21" t="n">
        <v>1</v>
      </c>
      <c r="Q22" s="22" t="n">
        <f aca="false">P22*Q$9</f>
        <v>40</v>
      </c>
      <c r="R22" s="21"/>
      <c r="S22" s="22" t="n">
        <f aca="false">R22*S$9</f>
        <v>0</v>
      </c>
      <c r="T22" s="21"/>
      <c r="U22" s="22" t="n">
        <f aca="false">T22*U$9</f>
        <v>0</v>
      </c>
      <c r="V22" s="21" t="n">
        <v>1</v>
      </c>
      <c r="W22" s="22" t="n">
        <f aca="false">V22*W$9</f>
        <v>40</v>
      </c>
      <c r="X22" s="21"/>
      <c r="Y22" s="22" t="n">
        <f aca="false">X22*Y$9</f>
        <v>0</v>
      </c>
      <c r="Z22" s="21"/>
      <c r="AA22" s="22" t="n">
        <f aca="false">Z22*AA$9</f>
        <v>0</v>
      </c>
      <c r="AB22" s="21"/>
      <c r="AC22" s="22" t="n">
        <f aca="false">AB22*AC$9</f>
        <v>0</v>
      </c>
      <c r="AE22" s="23" t="n">
        <v>100</v>
      </c>
      <c r="AF22" s="24" t="n">
        <v>1</v>
      </c>
      <c r="AG22" s="22" t="n">
        <f aca="false">AE22*AF22</f>
        <v>100</v>
      </c>
      <c r="AH22" s="23" t="n">
        <v>50</v>
      </c>
      <c r="AI22" s="24" t="n">
        <v>1</v>
      </c>
      <c r="AJ22" s="22" t="n">
        <f aca="false">AH22*AI22</f>
        <v>50</v>
      </c>
      <c r="AK22" s="23" t="n">
        <v>200</v>
      </c>
      <c r="AL22" s="24" t="n">
        <v>1</v>
      </c>
      <c r="AM22" s="22" t="n">
        <f aca="false">AK22*AL22</f>
        <v>200</v>
      </c>
      <c r="AN22" s="23"/>
      <c r="AO22" s="24"/>
      <c r="AP22" s="22" t="n">
        <f aca="false">AN22*AO22</f>
        <v>0</v>
      </c>
      <c r="AQ22" s="23"/>
      <c r="AR22" s="24"/>
      <c r="AS22" s="22" t="n">
        <f aca="false">AQ22*AR22</f>
        <v>0</v>
      </c>
    </row>
    <row r="23" customFormat="false" ht="22.5" hidden="false" customHeight="true" outlineLevel="0" collapsed="false">
      <c r="C23" s="19" t="s">
        <v>56</v>
      </c>
      <c r="D23" s="20"/>
      <c r="E23" s="20"/>
      <c r="F23" s="20"/>
      <c r="G23" s="20" t="n">
        <f aca="false">1000+I23+K23+M23+O23+AG23+AJ23+AM23+Q23+S23+U23+W23+AP23+AS23+Y23+AA23+AC23</f>
        <v>1490</v>
      </c>
      <c r="H23" s="21"/>
      <c r="I23" s="22" t="n">
        <f aca="false">H23*$I$9</f>
        <v>0</v>
      </c>
      <c r="J23" s="21"/>
      <c r="K23" s="22" t="n">
        <f aca="false">J23*K$9</f>
        <v>0</v>
      </c>
      <c r="L23" s="21" t="n">
        <v>1</v>
      </c>
      <c r="M23" s="22" t="n">
        <f aca="false">L23*M$9</f>
        <v>100</v>
      </c>
      <c r="N23" s="21"/>
      <c r="O23" s="22" t="n">
        <f aca="false">N23*O$9</f>
        <v>0</v>
      </c>
      <c r="P23" s="21" t="n">
        <v>1</v>
      </c>
      <c r="Q23" s="22" t="n">
        <f aca="false">P23*Q$9</f>
        <v>40</v>
      </c>
      <c r="R23" s="21"/>
      <c r="S23" s="22" t="n">
        <f aca="false">R23*S$9</f>
        <v>0</v>
      </c>
      <c r="T23" s="21"/>
      <c r="U23" s="22" t="n">
        <f aca="false">T23*U$9</f>
        <v>0</v>
      </c>
      <c r="V23" s="21"/>
      <c r="W23" s="22" t="n">
        <f aca="false">V23*W$9</f>
        <v>0</v>
      </c>
      <c r="X23" s="21"/>
      <c r="Y23" s="22" t="n">
        <f aca="false">X23*Y$9</f>
        <v>0</v>
      </c>
      <c r="Z23" s="21"/>
      <c r="AA23" s="22" t="n">
        <f aca="false">Z23*AA$9</f>
        <v>0</v>
      </c>
      <c r="AB23" s="21"/>
      <c r="AC23" s="22" t="n">
        <f aca="false">AB23*AC$9</f>
        <v>0</v>
      </c>
      <c r="AE23" s="23" t="n">
        <v>100</v>
      </c>
      <c r="AF23" s="24" t="n">
        <v>1</v>
      </c>
      <c r="AG23" s="22" t="n">
        <f aca="false">AE23*AF23</f>
        <v>100</v>
      </c>
      <c r="AH23" s="23" t="n">
        <v>50</v>
      </c>
      <c r="AI23" s="24" t="n">
        <v>1</v>
      </c>
      <c r="AJ23" s="22" t="n">
        <f aca="false">AH23*AI23</f>
        <v>50</v>
      </c>
      <c r="AK23" s="23" t="n">
        <v>200</v>
      </c>
      <c r="AL23" s="24" t="n">
        <v>1</v>
      </c>
      <c r="AM23" s="22" t="n">
        <f aca="false">AK23*AL23</f>
        <v>200</v>
      </c>
      <c r="AN23" s="23"/>
      <c r="AO23" s="24"/>
      <c r="AP23" s="22" t="n">
        <f aca="false">AN23*AO23</f>
        <v>0</v>
      </c>
      <c r="AQ23" s="23"/>
      <c r="AR23" s="24"/>
      <c r="AS23" s="22" t="n">
        <f aca="false">AQ23*AR23</f>
        <v>0</v>
      </c>
    </row>
    <row r="24" customFormat="false" ht="22.5" hidden="false" customHeight="true" outlineLevel="0" collapsed="false">
      <c r="A24" s="1" t="s">
        <v>56</v>
      </c>
      <c r="B24" s="1" t="n">
        <f aca="false">SUM(G21:G24)</f>
        <v>6120</v>
      </c>
      <c r="C24" s="19" t="s">
        <v>56</v>
      </c>
      <c r="D24" s="20"/>
      <c r="E24" s="20"/>
      <c r="F24" s="20"/>
      <c r="G24" s="20" t="n">
        <f aca="false">1000+I24+K24+M24+O24+AG24+AJ24+AM24+Q24+S24+U24+W24+AP24+AS24+Y24+AA24+AC24</f>
        <v>1600</v>
      </c>
      <c r="H24" s="21"/>
      <c r="I24" s="22" t="n">
        <f aca="false">H24*$I$9</f>
        <v>0</v>
      </c>
      <c r="J24" s="21" t="n">
        <v>1</v>
      </c>
      <c r="K24" s="22" t="n">
        <f aca="false">J24*K$9</f>
        <v>30</v>
      </c>
      <c r="L24" s="21" t="n">
        <v>1</v>
      </c>
      <c r="M24" s="22" t="n">
        <f aca="false">L24*M$9</f>
        <v>100</v>
      </c>
      <c r="N24" s="21" t="n">
        <v>1</v>
      </c>
      <c r="O24" s="22" t="n">
        <f aca="false">N24*O$9</f>
        <v>30</v>
      </c>
      <c r="P24" s="21" t="n">
        <v>1</v>
      </c>
      <c r="Q24" s="22" t="n">
        <f aca="false">P24*Q$9</f>
        <v>40</v>
      </c>
      <c r="R24" s="21"/>
      <c r="S24" s="22" t="n">
        <f aca="false">R24*S$9</f>
        <v>0</v>
      </c>
      <c r="T24" s="21" t="n">
        <v>1</v>
      </c>
      <c r="U24" s="22" t="n">
        <f aca="false">T24*U$9</f>
        <v>50</v>
      </c>
      <c r="V24" s="21"/>
      <c r="W24" s="22" t="n">
        <f aca="false">V24*W$9</f>
        <v>0</v>
      </c>
      <c r="X24" s="21"/>
      <c r="Y24" s="22" t="n">
        <f aca="false">X24*Y$9</f>
        <v>0</v>
      </c>
      <c r="Z24" s="21"/>
      <c r="AA24" s="22" t="n">
        <f aca="false">Z24*AA$9</f>
        <v>0</v>
      </c>
      <c r="AB24" s="21"/>
      <c r="AC24" s="22" t="n">
        <f aca="false">AB24*AC$9</f>
        <v>0</v>
      </c>
      <c r="AE24" s="23" t="n">
        <v>100</v>
      </c>
      <c r="AF24" s="24" t="n">
        <v>1</v>
      </c>
      <c r="AG24" s="22" t="n">
        <f aca="false">AE24*AF24</f>
        <v>100</v>
      </c>
      <c r="AH24" s="23" t="n">
        <v>50</v>
      </c>
      <c r="AI24" s="24" t="n">
        <v>1</v>
      </c>
      <c r="AJ24" s="22" t="n">
        <f aca="false">AH24*AI24</f>
        <v>50</v>
      </c>
      <c r="AK24" s="23" t="n">
        <v>200</v>
      </c>
      <c r="AL24" s="24" t="n">
        <v>1</v>
      </c>
      <c r="AM24" s="22" t="n">
        <f aca="false">AK24*AL24</f>
        <v>200</v>
      </c>
      <c r="AN24" s="23"/>
      <c r="AO24" s="24"/>
      <c r="AP24" s="22" t="n">
        <f aca="false">AN24*AO24</f>
        <v>0</v>
      </c>
      <c r="AQ24" s="23"/>
      <c r="AR24" s="24"/>
      <c r="AS24" s="22" t="n">
        <f aca="false">AQ24*AR24</f>
        <v>0</v>
      </c>
    </row>
    <row r="25" customFormat="false" ht="22.5" hidden="false" customHeight="true" outlineLevel="0" collapsed="false">
      <c r="C25" s="19" t="s">
        <v>57</v>
      </c>
      <c r="D25" s="20"/>
      <c r="E25" s="20"/>
      <c r="F25" s="20"/>
      <c r="G25" s="20" t="n">
        <f aca="false">1000+I25+K25+M25+O25+AG25+AJ25+AM25+Q25+S25+U25+W25+AP25+AS25+Y25+AA25+AC25</f>
        <v>850</v>
      </c>
      <c r="H25" s="21" t="n">
        <v>1</v>
      </c>
      <c r="I25" s="22" t="n">
        <f aca="false">H25*$I$9</f>
        <v>50</v>
      </c>
      <c r="J25" s="21"/>
      <c r="K25" s="22" t="n">
        <f aca="false">J25*K$9</f>
        <v>0</v>
      </c>
      <c r="L25" s="21"/>
      <c r="M25" s="22" t="n">
        <f aca="false">L25*M$9</f>
        <v>0</v>
      </c>
      <c r="N25" s="21"/>
      <c r="O25" s="22" t="n">
        <f aca="false">N25*O$9</f>
        <v>0</v>
      </c>
      <c r="P25" s="21"/>
      <c r="Q25" s="22" t="n">
        <f aca="false">P25*Q$9</f>
        <v>0</v>
      </c>
      <c r="R25" s="21"/>
      <c r="S25" s="22" t="n">
        <f aca="false">R25*S$9</f>
        <v>0</v>
      </c>
      <c r="T25" s="21" t="n">
        <v>1</v>
      </c>
      <c r="U25" s="22" t="n">
        <f aca="false">T25*U$9</f>
        <v>50</v>
      </c>
      <c r="V25" s="21"/>
      <c r="W25" s="22" t="n">
        <f aca="false">V25*W$9</f>
        <v>0</v>
      </c>
      <c r="X25" s="21"/>
      <c r="Y25" s="22" t="n">
        <f aca="false">X25*Y$9</f>
        <v>0</v>
      </c>
      <c r="Z25" s="21"/>
      <c r="AA25" s="22" t="n">
        <f aca="false">Z25*AA$9</f>
        <v>0</v>
      </c>
      <c r="AB25" s="21"/>
      <c r="AC25" s="22" t="n">
        <f aca="false">AB25*AC$9</f>
        <v>0</v>
      </c>
      <c r="AE25" s="23" t="n">
        <v>100</v>
      </c>
      <c r="AF25" s="24" t="n">
        <v>-1</v>
      </c>
      <c r="AG25" s="22" t="n">
        <f aca="false">AE25*AF25</f>
        <v>-100</v>
      </c>
      <c r="AH25" s="23" t="n">
        <v>50</v>
      </c>
      <c r="AI25" s="24" t="n">
        <v>1</v>
      </c>
      <c r="AJ25" s="22" t="n">
        <f aca="false">AH25*AI25</f>
        <v>50</v>
      </c>
      <c r="AK25" s="23" t="n">
        <v>200</v>
      </c>
      <c r="AL25" s="24" t="n">
        <v>-1</v>
      </c>
      <c r="AM25" s="22" t="n">
        <f aca="false">AK25*AL25</f>
        <v>-200</v>
      </c>
      <c r="AN25" s="23"/>
      <c r="AO25" s="24"/>
      <c r="AP25" s="22" t="n">
        <f aca="false">AN25*AO25</f>
        <v>0</v>
      </c>
      <c r="AQ25" s="23"/>
      <c r="AR25" s="24"/>
      <c r="AS25" s="22" t="n">
        <f aca="false">AQ25*AR25</f>
        <v>0</v>
      </c>
    </row>
    <row r="26" customFormat="false" ht="22.5" hidden="false" customHeight="true" outlineLevel="0" collapsed="false">
      <c r="C26" s="19" t="s">
        <v>57</v>
      </c>
      <c r="D26" s="20"/>
      <c r="E26" s="20"/>
      <c r="F26" s="20"/>
      <c r="G26" s="20" t="n">
        <f aca="false">1000+I26+K26+M26+O26+AG26+AJ26+AM26+Q26+S26+U26+W26+AP26+AS26+Y26+AA26+AC26</f>
        <v>840</v>
      </c>
      <c r="H26" s="21" t="n">
        <v>1</v>
      </c>
      <c r="I26" s="22" t="n">
        <f aca="false">H26*$I$9</f>
        <v>50</v>
      </c>
      <c r="J26" s="21"/>
      <c r="K26" s="22" t="n">
        <f aca="false">J26*K$9</f>
        <v>0</v>
      </c>
      <c r="L26" s="21"/>
      <c r="M26" s="22" t="n">
        <f aca="false">L26*M$9</f>
        <v>0</v>
      </c>
      <c r="N26" s="21"/>
      <c r="O26" s="22" t="n">
        <f aca="false">N26*O$9</f>
        <v>0</v>
      </c>
      <c r="P26" s="21" t="n">
        <v>1</v>
      </c>
      <c r="Q26" s="22" t="n">
        <f aca="false">P26*Q$9</f>
        <v>40</v>
      </c>
      <c r="R26" s="21"/>
      <c r="S26" s="22" t="n">
        <f aca="false">R26*S$9</f>
        <v>0</v>
      </c>
      <c r="T26" s="21"/>
      <c r="U26" s="22" t="n">
        <f aca="false">T26*U$9</f>
        <v>0</v>
      </c>
      <c r="V26" s="21"/>
      <c r="W26" s="22" t="n">
        <f aca="false">V26*W$9</f>
        <v>0</v>
      </c>
      <c r="X26" s="21"/>
      <c r="Y26" s="22" t="n">
        <f aca="false">X26*Y$9</f>
        <v>0</v>
      </c>
      <c r="Z26" s="21"/>
      <c r="AA26" s="22" t="n">
        <f aca="false">Z26*AA$9</f>
        <v>0</v>
      </c>
      <c r="AB26" s="21"/>
      <c r="AC26" s="22" t="n">
        <f aca="false">AB26*AC$9</f>
        <v>0</v>
      </c>
      <c r="AE26" s="23" t="n">
        <v>100</v>
      </c>
      <c r="AF26" s="24" t="n">
        <v>-1</v>
      </c>
      <c r="AG26" s="22" t="n">
        <f aca="false">AE26*AF26</f>
        <v>-100</v>
      </c>
      <c r="AH26" s="23" t="n">
        <v>50</v>
      </c>
      <c r="AI26" s="24" t="n">
        <v>1</v>
      </c>
      <c r="AJ26" s="22" t="n">
        <f aca="false">AH26*AI26</f>
        <v>50</v>
      </c>
      <c r="AK26" s="23" t="n">
        <v>200</v>
      </c>
      <c r="AL26" s="24" t="n">
        <v>-1</v>
      </c>
      <c r="AM26" s="22" t="n">
        <f aca="false">AK26*AL26</f>
        <v>-200</v>
      </c>
      <c r="AN26" s="23"/>
      <c r="AO26" s="24"/>
      <c r="AP26" s="22" t="n">
        <f aca="false">AN26*AO26</f>
        <v>0</v>
      </c>
      <c r="AQ26" s="23"/>
      <c r="AR26" s="24"/>
      <c r="AS26" s="22" t="n">
        <f aca="false">AQ26*AR26</f>
        <v>0</v>
      </c>
    </row>
    <row r="27" customFormat="false" ht="22.5" hidden="false" customHeight="true" outlineLevel="0" collapsed="false">
      <c r="C27" s="19" t="s">
        <v>57</v>
      </c>
      <c r="D27" s="20"/>
      <c r="E27" s="20"/>
      <c r="F27" s="20"/>
      <c r="G27" s="20" t="n">
        <f aca="false">1000+I27+K27+M27+O27+AG27+AJ27+AM27+Q27+S27+U27+W27+AP27+AS27+Y27+AA27+AC27</f>
        <v>750</v>
      </c>
      <c r="H27" s="21"/>
      <c r="I27" s="22" t="n">
        <f aca="false">H27*$I$9</f>
        <v>0</v>
      </c>
      <c r="J27" s="21"/>
      <c r="K27" s="22" t="n">
        <f aca="false">J27*K$9</f>
        <v>0</v>
      </c>
      <c r="L27" s="21"/>
      <c r="M27" s="22" t="n">
        <f aca="false">L27*M$9</f>
        <v>0</v>
      </c>
      <c r="N27" s="21"/>
      <c r="O27" s="22" t="n">
        <f aca="false">N27*O$9</f>
        <v>0</v>
      </c>
      <c r="P27" s="21"/>
      <c r="Q27" s="22" t="n">
        <f aca="false">P27*Q$9</f>
        <v>0</v>
      </c>
      <c r="R27" s="21"/>
      <c r="S27" s="22" t="n">
        <f aca="false">R27*S$9</f>
        <v>0</v>
      </c>
      <c r="T27" s="21"/>
      <c r="U27" s="22" t="n">
        <f aca="false">T27*U$9</f>
        <v>0</v>
      </c>
      <c r="V27" s="21"/>
      <c r="W27" s="22" t="n">
        <f aca="false">V27*W$9</f>
        <v>0</v>
      </c>
      <c r="X27" s="21"/>
      <c r="Y27" s="22" t="n">
        <f aca="false">X27*Y$9</f>
        <v>0</v>
      </c>
      <c r="Z27" s="21"/>
      <c r="AA27" s="22" t="n">
        <f aca="false">Z27*AA$9</f>
        <v>0</v>
      </c>
      <c r="AB27" s="21"/>
      <c r="AC27" s="22" t="n">
        <f aca="false">AB27*AC$9</f>
        <v>0</v>
      </c>
      <c r="AE27" s="23" t="n">
        <v>100</v>
      </c>
      <c r="AF27" s="24" t="n">
        <v>-1</v>
      </c>
      <c r="AG27" s="22" t="n">
        <f aca="false">AE27*AF27</f>
        <v>-100</v>
      </c>
      <c r="AH27" s="23" t="n">
        <v>50</v>
      </c>
      <c r="AI27" s="24" t="n">
        <v>1</v>
      </c>
      <c r="AJ27" s="22" t="n">
        <f aca="false">AH27*AI27</f>
        <v>50</v>
      </c>
      <c r="AK27" s="23" t="n">
        <v>200</v>
      </c>
      <c r="AL27" s="24" t="n">
        <v>-1</v>
      </c>
      <c r="AM27" s="22" t="n">
        <f aca="false">AK27*AL27</f>
        <v>-200</v>
      </c>
      <c r="AN27" s="23"/>
      <c r="AO27" s="24"/>
      <c r="AP27" s="22" t="n">
        <f aca="false">AN27*AO27</f>
        <v>0</v>
      </c>
      <c r="AQ27" s="23"/>
      <c r="AR27" s="24"/>
      <c r="AS27" s="22" t="n">
        <f aca="false">AQ27*AR27</f>
        <v>0</v>
      </c>
    </row>
    <row r="28" customFormat="false" ht="22.5" hidden="false" customHeight="true" outlineLevel="0" collapsed="false">
      <c r="A28" s="1" t="s">
        <v>57</v>
      </c>
      <c r="B28" s="1" t="n">
        <f aca="false">SUM(G25:G28)</f>
        <v>3330</v>
      </c>
      <c r="C28" s="25" t="s">
        <v>57</v>
      </c>
      <c r="D28" s="26"/>
      <c r="E28" s="26"/>
      <c r="F28" s="26"/>
      <c r="G28" s="26" t="n">
        <f aca="false">1000+I28+K28+M28+O28+AG28+AJ28+AM28+Q28+S28+U28+W28+AP28+AS28+Y28+AA28+AC28</f>
        <v>890</v>
      </c>
      <c r="H28" s="27" t="n">
        <v>1</v>
      </c>
      <c r="I28" s="28" t="n">
        <f aca="false">H28*$I$9</f>
        <v>50</v>
      </c>
      <c r="J28" s="27"/>
      <c r="K28" s="28" t="n">
        <f aca="false">J28*K$9</f>
        <v>0</v>
      </c>
      <c r="L28" s="27"/>
      <c r="M28" s="28" t="n">
        <f aca="false">L28*M$9</f>
        <v>0</v>
      </c>
      <c r="N28" s="27"/>
      <c r="O28" s="28" t="n">
        <f aca="false">N28*O$9</f>
        <v>0</v>
      </c>
      <c r="P28" s="27"/>
      <c r="Q28" s="28" t="n">
        <f aca="false">P28*Q$9</f>
        <v>0</v>
      </c>
      <c r="R28" s="27"/>
      <c r="S28" s="28" t="n">
        <f aca="false">R28*S$9</f>
        <v>0</v>
      </c>
      <c r="T28" s="27" t="n">
        <v>1</v>
      </c>
      <c r="U28" s="28" t="n">
        <f aca="false">T28*U$9</f>
        <v>50</v>
      </c>
      <c r="V28" s="27" t="n">
        <v>1</v>
      </c>
      <c r="W28" s="28" t="n">
        <f aca="false">V28*W$9</f>
        <v>40</v>
      </c>
      <c r="X28" s="27"/>
      <c r="Y28" s="28" t="n">
        <f aca="false">X28*Y$9</f>
        <v>0</v>
      </c>
      <c r="Z28" s="27"/>
      <c r="AA28" s="28" t="n">
        <f aca="false">Z28*AA$9</f>
        <v>0</v>
      </c>
      <c r="AB28" s="27"/>
      <c r="AC28" s="28" t="n">
        <f aca="false">AB28*AC$9</f>
        <v>0</v>
      </c>
      <c r="AE28" s="29" t="n">
        <v>100</v>
      </c>
      <c r="AF28" s="30" t="n">
        <v>-1</v>
      </c>
      <c r="AG28" s="28" t="n">
        <f aca="false">AE28*AF28</f>
        <v>-100</v>
      </c>
      <c r="AH28" s="29" t="n">
        <v>50</v>
      </c>
      <c r="AI28" s="30" t="n">
        <v>1</v>
      </c>
      <c r="AJ28" s="28" t="n">
        <f aca="false">AH28*AI28</f>
        <v>50</v>
      </c>
      <c r="AK28" s="29" t="n">
        <v>200</v>
      </c>
      <c r="AL28" s="30" t="n">
        <v>-1</v>
      </c>
      <c r="AM28" s="28" t="n">
        <f aca="false">AK28*AL28</f>
        <v>-200</v>
      </c>
      <c r="AN28" s="29"/>
      <c r="AO28" s="30"/>
      <c r="AP28" s="28" t="n">
        <f aca="false">AN28*AO28</f>
        <v>0</v>
      </c>
      <c r="AQ28" s="29"/>
      <c r="AR28" s="30"/>
      <c r="AS28" s="28" t="n">
        <f aca="false">AQ28*AR28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L9" activeCellId="0" sqref="L9"/>
    </sheetView>
  </sheetViews>
  <sheetFormatPr defaultColWidth="8.67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it-IT</dc:language>
  <cp:lastModifiedBy/>
  <dcterms:modified xsi:type="dcterms:W3CDTF">2026-02-17T12:51:21Z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